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mb\Desktop\"/>
    </mc:Choice>
  </mc:AlternateContent>
  <xr:revisionPtr revIDLastSave="0" documentId="8_{53E1633B-4A15-4BE6-A7FF-A12997C79189}" xr6:coauthVersionLast="47" xr6:coauthVersionMax="47" xr10:uidLastSave="{00000000-0000-0000-0000-000000000000}"/>
  <bookViews>
    <workbookView xWindow="-108" yWindow="-108" windowWidth="23256" windowHeight="12576" activeTab="1" xr2:uid="{28E6037E-1BEF-4A99-BA7B-56F14ED8628C}"/>
  </bookViews>
  <sheets>
    <sheet name="SB_Data" sheetId="3" r:id="rId1"/>
    <sheet name="Filtered_Data" sheetId="1" r:id="rId2"/>
  </sheets>
  <functionGroups builtInGroupCount="19"/>
  <definedNames>
    <definedName name="_xlnm._FilterDatabase" localSheetId="1" hidden="1">Filtered_Data!$D$1:$T$1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<sst xmlns="http://schemas.openxmlformats.org/spreadsheetml/2006/main" count="105" uniqueCount="83">
  <si>
    <t>ERD extract:</t>
  </si>
  <si>
    <t>Milestones due</t>
  </si>
  <si>
    <t>Green/ Compl</t>
  </si>
  <si>
    <t>CHANGE DRIVER</t>
  </si>
  <si>
    <t>NUMBER</t>
  </si>
  <si>
    <t>CATEGORY</t>
  </si>
  <si>
    <t>SB NO.</t>
  </si>
  <si>
    <t>TOPIC</t>
  </si>
  <si>
    <t>ISSUE</t>
  </si>
  <si>
    <t>OWNER</t>
  </si>
  <si>
    <t>Ready for AWOR ECD</t>
  </si>
  <si>
    <t>Proof ECD</t>
  </si>
  <si>
    <t>Internal Release ECD</t>
  </si>
  <si>
    <t>External Release ECD</t>
  </si>
  <si>
    <t>ERD NO.</t>
  </si>
  <si>
    <t>ERD status</t>
  </si>
  <si>
    <t>Current task</t>
  </si>
  <si>
    <t>Remaining approvers</t>
  </si>
  <si>
    <t>Task started</t>
  </si>
  <si>
    <t>Status</t>
  </si>
  <si>
    <t>VSB # (ERD)</t>
  </si>
  <si>
    <t>NOTES / COMMENTS</t>
  </si>
  <si>
    <t>Charge code</t>
  </si>
  <si>
    <t>Provisioning ($)</t>
  </si>
  <si>
    <t>COMPLEXITY (ILLUST.)</t>
  </si>
  <si>
    <t>TYPE</t>
  </si>
  <si>
    <t>QUANTITY SUBMITTED</t>
  </si>
  <si>
    <t>Release Month</t>
  </si>
  <si>
    <t>ATA</t>
  </si>
  <si>
    <t>Green</t>
  </si>
  <si>
    <t>Commit date
(K Brief)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</si>
  <si>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</si>
  <si>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</si>
  <si>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</si>
  <si>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</si>
  <si>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</si>
  <si>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</si>
  <si>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</si>
  <si>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</si>
  <si>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</si>
  <si>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</si>
  <si>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</si>
  <si>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</si>
  <si>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</si>
  <si>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</si>
  <si>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</si>
  <si>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</si>
  <si>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</si>
  <si>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</si>
  <si>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</si>
  <si>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</si>
  <si>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</si>
  <si>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</si>
  <si>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</si>
  <si>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</si>
  <si>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</si>
  <si>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</si>
  <si>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</si>
  <si>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</si>
  <si>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</si>
  <si>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</si>
  <si>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</si>
  <si>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</si>
  <si>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Engineering Comments</t>
  </si>
  <si>
    <t>Engineering Comments is a manual column</t>
  </si>
  <si>
    <t>compl</t>
  </si>
  <si>
    <t>SB-123-1234</t>
  </si>
  <si>
    <t>SB-123-1235</t>
  </si>
  <si>
    <t>Fixing a problem</t>
  </si>
  <si>
    <t>Additional functionality</t>
  </si>
  <si>
    <t>Engineering review</t>
  </si>
  <si>
    <t>Normal</t>
  </si>
  <si>
    <t>Disclosure letter</t>
  </si>
  <si>
    <t>SB-123-1236</t>
  </si>
  <si>
    <t>Other</t>
  </si>
  <si>
    <t>problem1</t>
  </si>
  <si>
    <t>problem2</t>
  </si>
  <si>
    <t>problem3</t>
  </si>
  <si>
    <t>person1</t>
  </si>
  <si>
    <t>person2</t>
  </si>
  <si>
    <t>person3</t>
  </si>
  <si>
    <t>DAD Approval of SB</t>
  </si>
  <si>
    <t>Example Data, actual connection was removed for security purposes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</si>
</sst>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 yyyy"/>
  </numFmts>
  <fonts count="7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b/>
      <sz val="8"/>
      <name val="Arial"/>
      <family val="2"/>
    </font>
    <font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900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NumberFormat="1"/>
    <xf numFmtId="0" fontId="4" fillId="0" borderId="0" xfId="0" applyFont="1" applyAlignment="1">
      <alignment wrapText="1"/>
    </xf>
    <xf numFmtId="0" fontId="4" fillId="0" borderId="0" xfId="0" applyFont="1"/>
    <xf numFmtId="14" fontId="4" fillId="0" borderId="0" xfId="0" applyNumberFormat="1" applyFont="1"/>
    <xf numFmtId="14" fontId="4" fillId="0" borderId="0" xfId="0" applyNumberFormat="1" applyFont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1" fontId="1" fillId="3" borderId="5" xfId="0" applyNumberFormat="1" applyFont="1" applyFill="1" applyBorder="1" applyAlignment="1">
      <alignment horizontal="center" vertical="center" wrapText="1"/>
    </xf>
    <xf numFmtId="14" fontId="1" fillId="3" borderId="5" xfId="0" applyNumberFormat="1" applyFont="1" applyFill="1" applyBorder="1" applyAlignment="1">
      <alignment horizontal="center" vertical="center" wrapText="1"/>
    </xf>
    <xf numFmtId="0" fontId="1" fillId="3" borderId="5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14" fontId="1" fillId="2" borderId="5" xfId="0" applyNumberFormat="1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 shrinkToFit="1"/>
    </xf>
    <xf numFmtId="14" fontId="1" fillId="5" borderId="5" xfId="0" applyNumberFormat="1" applyFont="1" applyFill="1" applyBorder="1" applyAlignment="1">
      <alignment horizontal="center" vertical="center" wrapText="1"/>
    </xf>
    <xf numFmtId="0" fontId="5" fillId="7" borderId="6" xfId="0" applyFont="1" applyFill="1" applyBorder="1" applyAlignment="1">
      <alignment wrapText="1"/>
    </xf>
    <xf numFmtId="14" fontId="4" fillId="0" borderId="10" xfId="0" applyNumberFormat="1" applyFont="1" applyBorder="1" applyAlignment="1">
      <alignment horizontal="center" vertical="center" wrapText="1"/>
    </xf>
    <xf numFmtId="14" fontId="4" fillId="6" borderId="10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0" fontId="4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 shrinkToFit="1"/>
    </xf>
    <xf numFmtId="1" fontId="2" fillId="0" borderId="0" xfId="0" applyNumberFormat="1" applyFont="1" applyFill="1" applyBorder="1" applyAlignment="1">
      <alignment horizontal="center" vertical="center" wrapText="1" shrinkToFit="1"/>
    </xf>
    <xf numFmtId="164" fontId="2" fillId="0" borderId="0" xfId="0" applyNumberFormat="1" applyFont="1" applyFill="1" applyBorder="1" applyAlignment="1">
      <alignment horizontal="center" vertical="center" wrapText="1" shrinkToFit="1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/>
    <xf numFmtId="0" fontId="4" fillId="6" borderId="4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6" borderId="7" xfId="0" applyNumberFormat="1" applyFont="1" applyFill="1" applyBorder="1" applyAlignment="1">
      <alignment horizontal="center" vertical="center" wrapText="1"/>
    </xf>
    <xf numFmtId="14" fontId="4" fillId="6" borderId="4" xfId="0" applyNumberFormat="1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wrapText="1"/>
    </xf>
    <xf numFmtId="0" fontId="4" fillId="6" borderId="9" xfId="0" applyNumberFormat="1" applyFont="1" applyFill="1" applyBorder="1" applyAlignment="1">
      <alignment horizontal="center" vertical="center" wrapText="1"/>
    </xf>
    <xf numFmtId="0" fontId="4" fillId="6" borderId="10" xfId="0" applyNumberFormat="1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wrapText="1"/>
    </xf>
    <xf numFmtId="0" fontId="4" fillId="0" borderId="2" xfId="0" applyNumberFormat="1" applyFont="1" applyBorder="1" applyAlignment="1">
      <alignment horizontal="center" vertical="center" wrapText="1"/>
    </xf>
    <xf numFmtId="0" fontId="4" fillId="0" borderId="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wrapText="1"/>
    </xf>
    <xf numFmtId="0" fontId="4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2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FFFFCC"/>
        </patternFill>
      </fill>
    </dxf>
    <dxf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251460</xdr:colOff>
          <xdr:row>5</xdr:row>
          <xdr:rowOff>266700</xdr:rowOff>
        </xdr:from>
        <xdr:to>
          <xdr:col>23</xdr:col>
          <xdr:colOff>175260</xdr:colOff>
          <xdr:row>8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266700</xdr:colOff>
          <xdr:row>3</xdr:row>
          <xdr:rowOff>121920</xdr:rowOff>
        </xdr:from>
        <xdr:to>
          <xdr:col>23</xdr:col>
          <xdr:colOff>152400</xdr:colOff>
          <xdr:row>4</xdr:row>
          <xdr:rowOff>388620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1</xdr:row>
          <xdr:rowOff>144780</xdr:rowOff>
        </xdr:from>
        <xdr:to>
          <xdr:col>23</xdr:col>
          <xdr:colOff>182880</xdr:colOff>
          <xdr:row>2</xdr:row>
          <xdr:rowOff>289560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5D36F9-AB14-4E65-8A33-5D5B0E773248}" name="Projects" displayName="Projects" ref="A1:AF6" totalsRowShown="0">
  <autoFilter ref="A1:AF6" xr:uid="{9B5F7D1B-6CFC-44BB-A136-4D03372D8690}"/>
  <tableColumns count="32">
    <tableColumn id="1" xr3:uid="{CBE67BBD-8997-4F08-8317-96704B43531A}" name="Column1"/>
    <tableColumn id="2" xr3:uid="{243D9C4C-C455-4AA2-BF19-1C85F9C82AA0}" name="Column2" dataDxfId="23"/>
    <tableColumn id="3" xr3:uid="{4A1BE768-C746-49D2-B8C4-5F0B96328F22}" name="Column3" dataDxfId="22"/>
    <tableColumn id="4" xr3:uid="{23D5C0B8-629F-4AA7-AF6C-56A4F57634C4}" name="Column4"/>
    <tableColumn id="5" xr3:uid="{E5A27969-3AA0-4365-83A0-1816157877D4}" name="Column5" dataDxfId="21"/>
    <tableColumn id="6" xr3:uid="{CCEC806E-4076-4841-9536-3598EAD02D8C}" name="Column6" dataDxfId="20"/>
    <tableColumn id="7" xr3:uid="{DC6DF331-F89D-449A-BE96-40FD0B627DFE}" name="Column7" dataDxfId="19"/>
    <tableColumn id="8" xr3:uid="{55D7948C-7585-4CB4-8F91-3930BB6ACF37}" name="Column8"/>
    <tableColumn id="9" xr3:uid="{356D0FFE-8F7C-4E8C-B61D-9A23778975C5}" name="Column9" dataDxfId="18"/>
    <tableColumn id="10" xr3:uid="{5A86BA27-924E-4E26-8F1B-719E57925100}" name="Column10"/>
    <tableColumn id="11" xr3:uid="{10DE6D2A-EF7A-4A01-94B8-837F7B090521}" name="Column11"/>
    <tableColumn id="12" xr3:uid="{1819CD6F-9AFA-46D6-B5B8-8484C5D4D62C}" name="Column12"/>
    <tableColumn id="13" xr3:uid="{F3DE6E7C-FC28-4E0E-A875-F004A3D5CF75}" name="Column13"/>
    <tableColumn id="14" xr3:uid="{5CAA943A-9348-4438-90AF-A40D7A37DE35}" name="Column14"/>
    <tableColumn id="15" xr3:uid="{401C045A-FA33-43AA-915D-D2165BAB8B45}" name="Column15"/>
    <tableColumn id="16" xr3:uid="{5D5191AA-F59D-4111-8F80-21C00B36CD5E}" name="Column16" dataDxfId="17"/>
    <tableColumn id="17" xr3:uid="{D924B5CA-553B-4777-BBB3-D5473A185561}" name="Column17"/>
    <tableColumn id="18" xr3:uid="{9BBD4CAF-9161-46D6-8AEE-10337B2A1A7A}" name="Column18"/>
    <tableColumn id="19" xr3:uid="{4F6D1DEA-6CD4-47FF-9683-8A9BD301BD23}" name="Column19"/>
    <tableColumn id="20" xr3:uid="{B31B623F-E14A-45A6-811F-57029BDDDBA7}" name="Column20" dataDxfId="16"/>
    <tableColumn id="21" xr3:uid="{20F20ACD-CA09-4E16-A06A-6069C386223F}" name="Column21"/>
    <tableColumn id="22" xr3:uid="{54D6FC33-DAF3-4BAC-8E3A-D6BDB8F9681B}" name="Column22" dataDxfId="15"/>
    <tableColumn id="23" xr3:uid="{398E2A26-3E44-4C4C-A1C7-C96474F73679}" name="Column23"/>
    <tableColumn id="24" xr3:uid="{845432EE-1538-49CE-B846-2FB08C6D0F02}" name="Column24"/>
    <tableColumn id="25" xr3:uid="{41889403-8585-4F29-88E0-A18DC6ABBE9E}" name="Column25" dataDxfId="14"/>
    <tableColumn id="26" xr3:uid="{FD2C9966-3FB2-4D06-9EE9-AC8D50683D6C}" name="Column26" dataDxfId="13"/>
    <tableColumn id="27" xr3:uid="{37D40002-64C2-45DD-9BDF-BE087D5984CC}" name="Column27"/>
    <tableColumn id="28" xr3:uid="{84001354-2DAE-4AC6-B2D5-94C936EB381A}" name="Column28"/>
    <tableColumn id="29" xr3:uid="{1A699498-8BF7-40FC-A949-F339971C5640}" name="Column29" dataDxfId="12"/>
    <tableColumn id="33" xr3:uid="{F612DFB0-10E1-425E-A193-3CDD8CFCCF8B}" name="Column30"/>
    <tableColumn id="34" xr3:uid="{B807439B-6E1C-4958-B130-651F293EC57A}" name="Column31"/>
    <tableColumn id="35" xr3:uid="{56EE56FE-AB7B-4DE6-B549-C8DD5E1176E4}" name="Column3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227E-0E42-425A-A9A2-EB7FB86AD04E}">
  <sheetPr codeName="Sheet3"/>
  <dimension ref="A1:AF24"/>
  <sheetViews>
    <sheetView topLeftCell="B1" workbookViewId="0">
      <selection activeCell="E12" sqref="E12"/>
    </sheetView>
  </sheetViews>
  <sheetFormatPr defaultRowHeight="14.4" x14ac:dyDescent="0.3"/>
  <cols>
    <col min="1" max="1" width="14.88671875" hidden="1" customWidth="1"/>
    <col min="2" max="2" width="13.5546875" bestFit="1" customWidth="1"/>
    <col min="3" max="3" width="15.44140625" bestFit="1" customWidth="1"/>
    <col min="4" max="4" width="15.109375" bestFit="1" customWidth="1"/>
    <col min="5" max="5" width="23.6640625" bestFit="1" customWidth="1"/>
    <col min="6" max="6" width="11.6640625" bestFit="1" customWidth="1"/>
    <col min="7" max="7" width="81.109375" bestFit="1" customWidth="1"/>
    <col min="8" max="8" width="11.109375" bestFit="1" customWidth="1"/>
    <col min="9" max="9" width="13.6640625" bestFit="1" customWidth="1"/>
    <col min="10" max="10" width="19.6640625" bestFit="1" customWidth="1"/>
    <col min="11" max="11" width="12.109375" bestFit="1" customWidth="1"/>
    <col min="12" max="12" width="19.5546875" bestFit="1" customWidth="1"/>
    <col min="13" max="13" width="19.88671875" bestFit="1" customWidth="1"/>
    <col min="14" max="14" width="21.109375" bestFit="1" customWidth="1"/>
    <col min="15" max="15" width="12.109375" bestFit="1" customWidth="1"/>
    <col min="16" max="16" width="12.109375" hidden="1" customWidth="1"/>
    <col min="17" max="17" width="56.109375" bestFit="1" customWidth="1"/>
    <col min="18" max="18" width="76.109375" bestFit="1" customWidth="1"/>
    <col min="19" max="19" width="12.109375" bestFit="1" customWidth="1"/>
    <col min="20" max="21" width="12.109375" hidden="1" customWidth="1"/>
    <col min="22" max="22" width="81.109375" bestFit="1" customWidth="1"/>
    <col min="23" max="23" width="16.5546875" hidden="1" customWidth="1"/>
    <col min="24" max="24" width="15.109375" hidden="1" customWidth="1"/>
    <col min="25" max="25" width="20.33203125" hidden="1" customWidth="1"/>
    <col min="26" max="26" width="12.109375" hidden="1" customWidth="1"/>
    <col min="27" max="27" width="20.6640625" hidden="1" customWidth="1"/>
    <col min="28" max="28" width="14.44140625" bestFit="1" customWidth="1"/>
    <col min="29" max="32" width="12.109375" hidden="1" customWidth="1"/>
    <col min="33" max="35" width="12.109375" bestFit="1" customWidth="1"/>
  </cols>
  <sheetData>
    <row r="1" spans="1:32" x14ac:dyDescent="0.3">
      <c r="A1" t="s">
        <v>31</v>
      </c>
      <c r="B1" s="1" t="s">
        <v>32</v>
      </c>
      <c r="C1" s="1" t="s">
        <v>33</v>
      </c>
      <c r="D1" t="s">
        <v>34</v>
      </c>
      <c r="E1" s="1" t="s">
        <v>35</v>
      </c>
      <c r="F1" s="1" t="s">
        <v>36</v>
      </c>
      <c r="G1" s="1" t="s">
        <v>37</v>
      </c>
      <c r="H1" t="s">
        <v>38</v>
      </c>
      <c r="I1" s="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s="1" t="s">
        <v>46</v>
      </c>
      <c r="Q1" t="s">
        <v>47</v>
      </c>
      <c r="R1" t="s">
        <v>48</v>
      </c>
      <c r="S1" t="s">
        <v>49</v>
      </c>
      <c r="T1" s="1" t="s">
        <v>50</v>
      </c>
      <c r="U1" t="s">
        <v>51</v>
      </c>
      <c r="V1" s="1" t="s">
        <v>52</v>
      </c>
      <c r="W1" t="s">
        <v>53</v>
      </c>
      <c r="X1" t="s">
        <v>54</v>
      </c>
      <c r="Y1" s="1" t="s">
        <v>55</v>
      </c>
      <c r="Z1" s="1" t="s">
        <v>56</v>
      </c>
      <c r="AA1" t="s">
        <v>57</v>
      </c>
      <c r="AB1" t="s">
        <v>58</v>
      </c>
      <c r="AC1" s="1" t="s">
        <v>59</v>
      </c>
      <c r="AD1" t="s">
        <v>60</v>
      </c>
      <c r="AE1" t="s">
        <v>61</v>
      </c>
      <c r="AF1" t="s">
        <v>62</v>
      </c>
    </row>
    <row r="2" spans="1:32" x14ac:dyDescent="0.3">
      <c r="A2">
        <v>44591</v>
      </c>
      <c r="B2" s="1" t="s">
        <v>82</v>
      </c>
      <c r="C2" s="1"/>
      <c r="E2" s="1"/>
      <c r="F2" s="1"/>
      <c r="G2" s="1"/>
      <c r="I2" s="1"/>
      <c r="P2" s="1" t="s">
        <v>0</v>
      </c>
      <c r="Q2">
        <v>44553</v>
      </c>
      <c r="T2" s="1"/>
      <c r="V2" s="1"/>
      <c r="Y2" s="1"/>
      <c r="Z2" s="1"/>
      <c r="AC2" s="1"/>
    </row>
    <row r="3" spans="1:32" x14ac:dyDescent="0.3">
      <c r="A3" t="s">
        <v>1</v>
      </c>
      <c r="B3" s="1" t="s">
        <v>2</v>
      </c>
      <c r="C3" s="1" t="s">
        <v>3</v>
      </c>
      <c r="D3" t="s">
        <v>4</v>
      </c>
      <c r="E3" s="1" t="s">
        <v>5</v>
      </c>
      <c r="F3" s="1" t="s">
        <v>6</v>
      </c>
      <c r="G3" s="1" t="s">
        <v>7</v>
      </c>
      <c r="H3" t="s">
        <v>8</v>
      </c>
      <c r="I3" s="1" t="s">
        <v>9</v>
      </c>
      <c r="J3" t="s">
        <v>10</v>
      </c>
      <c r="K3" t="s">
        <v>11</v>
      </c>
      <c r="L3" t="s">
        <v>12</v>
      </c>
      <c r="M3" t="s">
        <v>13</v>
      </c>
      <c r="N3" t="s">
        <v>30</v>
      </c>
      <c r="O3" t="s">
        <v>14</v>
      </c>
      <c r="P3" s="1" t="s">
        <v>15</v>
      </c>
      <c r="Q3" t="s">
        <v>16</v>
      </c>
      <c r="R3" t="s">
        <v>17</v>
      </c>
      <c r="S3" t="s">
        <v>18</v>
      </c>
      <c r="T3" s="1" t="s">
        <v>19</v>
      </c>
      <c r="U3" t="s">
        <v>20</v>
      </c>
      <c r="V3" s="1" t="s">
        <v>21</v>
      </c>
      <c r="W3" t="s">
        <v>22</v>
      </c>
      <c r="X3" t="s">
        <v>23</v>
      </c>
      <c r="Y3" s="1" t="s">
        <v>24</v>
      </c>
      <c r="Z3" s="1" t="s">
        <v>25</v>
      </c>
      <c r="AA3" t="s">
        <v>26</v>
      </c>
      <c r="AB3" t="s">
        <v>27</v>
      </c>
      <c r="AC3" s="1" t="s">
        <v>28</v>
      </c>
    </row>
    <row r="4" spans="1:32" x14ac:dyDescent="0.3">
      <c r="B4" s="1" t="s">
        <v>29</v>
      </c>
      <c r="C4" s="1"/>
      <c r="E4" s="1" t="s">
        <v>71</v>
      </c>
      <c r="F4" s="1" t="s">
        <v>66</v>
      </c>
      <c r="G4" s="1" t="s">
        <v>68</v>
      </c>
      <c r="H4" t="s">
        <v>75</v>
      </c>
      <c r="I4" s="1" t="s">
        <v>78</v>
      </c>
      <c r="O4">
        <v>1234567</v>
      </c>
      <c r="P4" s="1"/>
      <c r="Q4" t="s">
        <v>70</v>
      </c>
      <c r="T4" s="1"/>
      <c r="V4" s="1"/>
      <c r="Y4" s="1"/>
      <c r="Z4" s="1"/>
      <c r="AC4" s="1"/>
    </row>
    <row r="5" spans="1:32" x14ac:dyDescent="0.3">
      <c r="B5" s="1" t="s">
        <v>65</v>
      </c>
      <c r="C5" s="1"/>
      <c r="E5" s="1" t="s">
        <v>71</v>
      </c>
      <c r="F5" s="1" t="s">
        <v>67</v>
      </c>
      <c r="G5" s="1" t="s">
        <v>69</v>
      </c>
      <c r="H5" t="s">
        <v>76</v>
      </c>
      <c r="I5" s="1" t="s">
        <v>79</v>
      </c>
      <c r="O5">
        <v>1234568</v>
      </c>
      <c r="P5" s="1"/>
      <c r="Q5" t="s">
        <v>70</v>
      </c>
      <c r="T5" s="1"/>
      <c r="V5" s="1"/>
      <c r="Y5" s="1"/>
      <c r="Z5" s="1"/>
      <c r="AC5" s="1"/>
    </row>
    <row r="6" spans="1:32" x14ac:dyDescent="0.3">
      <c r="B6" s="1" t="s">
        <v>29</v>
      </c>
      <c r="C6" s="1"/>
      <c r="E6" s="1" t="s">
        <v>72</v>
      </c>
      <c r="F6" s="1" t="s">
        <v>73</v>
      </c>
      <c r="G6" s="1" t="s">
        <v>74</v>
      </c>
      <c r="H6" t="s">
        <v>77</v>
      </c>
      <c r="I6" s="1" t="s">
        <v>80</v>
      </c>
      <c r="O6">
        <v>1234569</v>
      </c>
      <c r="P6" s="1"/>
      <c r="Q6" t="s">
        <v>81</v>
      </c>
      <c r="T6" s="1"/>
      <c r="V6" s="1"/>
      <c r="Y6" s="1"/>
      <c r="Z6" s="1"/>
      <c r="AC6" s="1"/>
    </row>
    <row r="7" spans="1:32" x14ac:dyDescent="0.3">
      <c r="B7" s="1"/>
      <c r="C7" s="1"/>
      <c r="E7" s="1"/>
      <c r="F7" s="1"/>
      <c r="G7" s="1"/>
      <c r="I7" s="1"/>
      <c r="P7" s="1"/>
      <c r="T7" s="1"/>
      <c r="V7" s="1"/>
      <c r="Y7" s="1"/>
      <c r="Z7" s="1"/>
      <c r="AC7" s="1"/>
    </row>
    <row r="8" spans="1:32" x14ac:dyDescent="0.3">
      <c r="B8" s="1"/>
      <c r="C8" s="1"/>
      <c r="E8" s="1"/>
      <c r="F8" s="1"/>
      <c r="G8" s="1"/>
      <c r="I8" s="1"/>
      <c r="P8" s="1"/>
      <c r="T8" s="1"/>
      <c r="V8" s="1"/>
      <c r="Y8" s="1"/>
      <c r="Z8" s="1"/>
      <c r="AC8" s="1"/>
    </row>
    <row r="9" spans="1:32" x14ac:dyDescent="0.3">
      <c r="B9" s="1"/>
      <c r="C9" s="1"/>
      <c r="E9" s="1"/>
      <c r="F9" s="1"/>
      <c r="G9" s="1"/>
      <c r="I9" s="1"/>
      <c r="P9" s="1"/>
      <c r="T9" s="1"/>
      <c r="V9" s="1"/>
      <c r="Y9" s="1"/>
      <c r="Z9" s="1"/>
      <c r="AC9" s="1"/>
    </row>
    <row r="10" spans="1:32" x14ac:dyDescent="0.3">
      <c r="B10" s="1"/>
      <c r="C10" s="1"/>
      <c r="E10" s="1"/>
      <c r="F10" s="1"/>
      <c r="G10" s="1"/>
      <c r="I10" s="1"/>
      <c r="P10" s="1"/>
      <c r="T10" s="1"/>
      <c r="V10" s="1"/>
      <c r="Y10" s="1"/>
      <c r="Z10" s="1"/>
      <c r="AC10" s="1"/>
    </row>
    <row r="11" spans="1:32" x14ac:dyDescent="0.3">
      <c r="B11" s="1"/>
      <c r="C11" s="1"/>
      <c r="E11" s="1"/>
      <c r="F11" s="1"/>
      <c r="G11" s="1"/>
      <c r="I11" s="1"/>
      <c r="P11" s="1"/>
      <c r="T11" s="1"/>
      <c r="V11" s="1"/>
      <c r="Y11" s="1"/>
      <c r="Z11" s="1"/>
      <c r="AC11" s="1"/>
    </row>
    <row r="12" spans="1:32" x14ac:dyDescent="0.3">
      <c r="B12" s="1"/>
      <c r="C12" s="1"/>
      <c r="E12" s="1"/>
      <c r="F12" s="1"/>
      <c r="G12" s="1"/>
      <c r="I12" s="1"/>
      <c r="P12" s="1"/>
      <c r="T12" s="1"/>
      <c r="V12" s="1"/>
      <c r="Y12" s="1"/>
      <c r="Z12" s="1"/>
      <c r="AC12" s="1"/>
    </row>
    <row r="13" spans="1:32" x14ac:dyDescent="0.3">
      <c r="B13" s="1"/>
      <c r="C13" s="1"/>
      <c r="E13" s="1"/>
      <c r="F13" s="1"/>
      <c r="G13" s="1"/>
      <c r="I13" s="1"/>
      <c r="P13" s="1"/>
      <c r="T13" s="1"/>
      <c r="V13" s="1"/>
      <c r="Y13" s="1"/>
      <c r="Z13" s="1"/>
      <c r="AC13" s="1"/>
    </row>
    <row r="14" spans="1:32" x14ac:dyDescent="0.3">
      <c r="B14" s="1"/>
      <c r="C14" s="1"/>
      <c r="E14" s="1"/>
      <c r="F14" s="1"/>
      <c r="G14" s="1"/>
      <c r="I14" s="1"/>
      <c r="P14" s="1"/>
      <c r="T14" s="1"/>
      <c r="V14" s="1"/>
      <c r="Y14" s="1"/>
      <c r="Z14" s="1"/>
      <c r="AC14" s="1"/>
    </row>
    <row r="15" spans="1:32" x14ac:dyDescent="0.3">
      <c r="B15" s="1"/>
      <c r="C15" s="1"/>
      <c r="E15" s="1"/>
      <c r="F15" s="1"/>
      <c r="G15" s="1"/>
      <c r="I15" s="1"/>
      <c r="P15" s="1"/>
      <c r="T15" s="1"/>
      <c r="V15" s="1"/>
      <c r="Y15" s="1"/>
      <c r="Z15" s="1"/>
      <c r="AC15" s="1"/>
    </row>
    <row r="16" spans="1:32" x14ac:dyDescent="0.3">
      <c r="B16" s="1"/>
      <c r="C16" s="1"/>
      <c r="E16" s="1"/>
      <c r="F16" s="1"/>
      <c r="G16" s="1"/>
      <c r="I16" s="1"/>
      <c r="P16" s="1"/>
      <c r="T16" s="1"/>
      <c r="V16" s="1"/>
      <c r="Y16" s="1"/>
      <c r="Z16" s="1"/>
      <c r="AC16" s="1"/>
    </row>
    <row r="17" spans="2:29" x14ac:dyDescent="0.3">
      <c r="B17" s="1"/>
      <c r="C17" s="1"/>
      <c r="E17" s="1"/>
      <c r="F17" s="1"/>
      <c r="G17" s="1"/>
      <c r="I17" s="1"/>
      <c r="P17" s="1"/>
      <c r="T17" s="1"/>
      <c r="V17" s="1"/>
      <c r="Y17" s="1"/>
      <c r="Z17" s="1"/>
      <c r="AC17" s="1"/>
    </row>
    <row r="18" spans="2:29" x14ac:dyDescent="0.3">
      <c r="B18" s="1"/>
      <c r="C18" s="1"/>
      <c r="E18" s="1"/>
      <c r="F18" s="1"/>
      <c r="G18" s="1"/>
      <c r="I18" s="1"/>
      <c r="P18" s="1"/>
      <c r="T18" s="1"/>
      <c r="V18" s="1"/>
      <c r="Y18" s="1"/>
      <c r="Z18" s="1"/>
      <c r="AC18" s="1"/>
    </row>
    <row r="19" spans="2:29" x14ac:dyDescent="0.3">
      <c r="B19" s="1"/>
      <c r="C19" s="1"/>
      <c r="E19" s="1"/>
      <c r="F19" s="1"/>
      <c r="G19" s="1"/>
      <c r="I19" s="1"/>
      <c r="P19" s="1"/>
      <c r="T19" s="1"/>
      <c r="V19" s="1"/>
      <c r="Y19" s="1"/>
      <c r="Z19" s="1"/>
      <c r="AC19" s="1"/>
    </row>
    <row r="20" spans="2:29" x14ac:dyDescent="0.3">
      <c r="B20" s="1"/>
      <c r="C20" s="1"/>
      <c r="E20" s="1"/>
      <c r="F20" s="1"/>
      <c r="G20" s="1"/>
      <c r="I20" s="1"/>
      <c r="P20" s="1"/>
      <c r="T20" s="1"/>
      <c r="V20" s="1"/>
      <c r="Y20" s="1"/>
      <c r="Z20" s="1"/>
      <c r="AC20" s="1"/>
    </row>
    <row r="21" spans="2:29" x14ac:dyDescent="0.3">
      <c r="B21" s="1"/>
      <c r="C21" s="1"/>
      <c r="E21" s="1"/>
      <c r="F21" s="1"/>
      <c r="G21" s="1"/>
      <c r="I21" s="1"/>
      <c r="P21" s="1"/>
      <c r="T21" s="1"/>
      <c r="V21" s="1"/>
      <c r="Y21" s="1"/>
      <c r="Z21" s="1"/>
      <c r="AC21" s="1"/>
    </row>
    <row r="22" spans="2:29" x14ac:dyDescent="0.3">
      <c r="B22" s="1"/>
      <c r="C22" s="1"/>
      <c r="E22" s="1"/>
      <c r="F22" s="1"/>
      <c r="G22" s="1"/>
      <c r="I22" s="1"/>
      <c r="P22" s="1"/>
      <c r="T22" s="1"/>
      <c r="V22" s="1"/>
      <c r="Y22" s="1"/>
      <c r="Z22" s="1"/>
      <c r="AC22" s="1"/>
    </row>
    <row r="23" spans="2:29" x14ac:dyDescent="0.3">
      <c r="B23" s="1"/>
      <c r="C23" s="1"/>
      <c r="E23" s="1"/>
      <c r="F23" s="1"/>
      <c r="G23" s="1"/>
      <c r="I23" s="1"/>
      <c r="P23" s="1"/>
      <c r="T23" s="1"/>
      <c r="V23" s="1"/>
      <c r="Y23" s="1"/>
      <c r="Z23" s="1"/>
      <c r="AC23" s="1"/>
    </row>
    <row r="24" spans="2:29" x14ac:dyDescent="0.3">
      <c r="B24" s="1"/>
      <c r="C24" s="1"/>
      <c r="E24" s="1"/>
      <c r="F24" s="1"/>
      <c r="G24" s="1"/>
      <c r="I24" s="1"/>
      <c r="P24" s="1"/>
      <c r="T24" s="1"/>
      <c r="V24" s="1"/>
      <c r="Y24" s="1"/>
      <c r="Z24" s="1"/>
      <c r="AC24" s="1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0DEC5-617C-4D69-A827-806B61954349}">
  <sheetPr codeName="Sheet1"/>
  <dimension ref="A1:BK27"/>
  <sheetViews>
    <sheetView tabSelected="1" zoomScale="71" zoomScaleNormal="71" workbookViewId="0">
      <selection activeCell="F17" sqref="F17"/>
    </sheetView>
  </sheetViews>
  <sheetFormatPr defaultColWidth="9.109375" defaultRowHeight="10.199999999999999" x14ac:dyDescent="0.2"/>
  <cols>
    <col min="1" max="1" width="7.33203125" style="38" customWidth="1"/>
    <col min="2" max="2" width="9" style="38" customWidth="1"/>
    <col min="3" max="3" width="9.33203125" style="38" customWidth="1"/>
    <col min="4" max="4" width="11.88671875" style="38" customWidth="1"/>
    <col min="5" max="5" width="7.88671875" style="38" customWidth="1"/>
    <col min="6" max="6" width="13.88671875" style="38" customWidth="1"/>
    <col min="7" max="7" width="6.88671875" style="38" customWidth="1"/>
    <col min="8" max="8" width="8.5546875" style="38" customWidth="1"/>
    <col min="9" max="9" width="11.109375" style="38" customWidth="1"/>
    <col min="10" max="10" width="10.5546875" style="5" customWidth="1"/>
    <col min="11" max="11" width="12.44140625" style="5" customWidth="1"/>
    <col min="12" max="12" width="13.33203125" style="5" customWidth="1"/>
    <col min="13" max="13" width="8.6640625" style="5" customWidth="1"/>
    <col min="14" max="14" width="9.6640625" style="51" customWidth="1"/>
    <col min="15" max="15" width="10.109375" style="38" customWidth="1"/>
    <col min="16" max="16" width="20" style="38" customWidth="1"/>
    <col min="17" max="17" width="8.5546875" style="5" customWidth="1"/>
    <col min="18" max="18" width="26.33203125" style="38" customWidth="1"/>
    <col min="19" max="19" width="9.33203125" style="38" customWidth="1"/>
    <col min="20" max="20" width="11.33203125" style="2" customWidth="1"/>
    <col min="21" max="22" width="12.44140625" style="3" customWidth="1"/>
    <col min="23" max="23" width="10.5546875" style="3" customWidth="1"/>
    <col min="24" max="32" width="9.109375" style="3"/>
    <col min="33" max="35" width="9.109375" style="4"/>
    <col min="36" max="36" width="9.109375" style="3"/>
    <col min="37" max="37" width="9.109375" style="3" bestFit="1" customWidth="1"/>
    <col min="38" max="40" width="9.109375" style="3"/>
    <col min="41" max="41" width="9.109375" style="4"/>
    <col min="42" max="16384" width="9.109375" style="3"/>
  </cols>
  <sheetData>
    <row r="1" spans="1:63" s="2" customFormat="1" ht="33" customHeight="1" x14ac:dyDescent="0.2">
      <c r="A1" s="6" t="s">
        <v>2</v>
      </c>
      <c r="B1" s="6" t="s">
        <v>3</v>
      </c>
      <c r="C1" s="7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8" t="s">
        <v>10</v>
      </c>
      <c r="J1" s="8" t="s">
        <v>11</v>
      </c>
      <c r="K1" s="8" t="s">
        <v>12</v>
      </c>
      <c r="L1" s="8" t="s">
        <v>13</v>
      </c>
      <c r="M1" s="8" t="s">
        <v>30</v>
      </c>
      <c r="N1" s="9" t="s">
        <v>14</v>
      </c>
      <c r="O1" s="10" t="s">
        <v>16</v>
      </c>
      <c r="P1" s="10" t="s">
        <v>17</v>
      </c>
      <c r="Q1" s="11" t="s">
        <v>18</v>
      </c>
      <c r="R1" s="12" t="s">
        <v>21</v>
      </c>
      <c r="S1" s="13" t="s">
        <v>27</v>
      </c>
      <c r="T1" s="14" t="s">
        <v>63</v>
      </c>
      <c r="U1" s="2" t="s">
        <v>64</v>
      </c>
      <c r="V1" s="18"/>
      <c r="W1" s="19"/>
      <c r="X1" s="20"/>
      <c r="Y1" s="20"/>
      <c r="Z1" s="21"/>
      <c r="AA1" s="20"/>
      <c r="AB1" s="20"/>
      <c r="AC1" s="20"/>
      <c r="AD1" s="20"/>
      <c r="AE1" s="20"/>
      <c r="AF1" s="22"/>
      <c r="AG1" s="22"/>
      <c r="AH1" s="22"/>
      <c r="AI1" s="22"/>
      <c r="AJ1" s="22"/>
      <c r="AK1" s="23"/>
      <c r="AL1" s="24"/>
      <c r="AM1" s="24"/>
      <c r="AN1" s="24"/>
      <c r="AO1" s="25"/>
      <c r="AP1" s="24"/>
      <c r="AQ1" s="20"/>
      <c r="AR1" s="26"/>
      <c r="AS1" s="27"/>
      <c r="AT1" s="28"/>
      <c r="AU1" s="20"/>
      <c r="AV1" s="20"/>
      <c r="AW1" s="20"/>
      <c r="AX1" s="25"/>
      <c r="AY1" s="19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</row>
    <row r="2" spans="1:63" ht="33" customHeight="1" x14ac:dyDescent="0.2">
      <c r="A2" s="39" t="str" cm="1">
        <f t="array" ref="A2:S3">_xlfn._xlws.SORT(_xlfn._xlws.FILTER(_xlfn._xlws.FILTER(Projects[[#All],[Column1]:[Column29]],((Projects[[#All],[Column17]]="Engineering review")+(Projects[[#All],[Column17]]="Engineering Approval of SB")+(Projects[[#All],[Column17]]="DAD Approval of SB")+((Projects[[#All],[Column17]]="Incorporate engineering comment(s)")+(Projects[[#All],[Column17]]="Projects Team to Assign to Engineering"))*(Projects[[#All],[Column5]]="DISCLOSURE LETTER"))*((Projects[[#All],[Column2]]="")+(Projects[[#All],[Column2]]="Green"))),ISNUMBER(_xlfn.XMATCH(SB_Data!A3:AC3,A1:S1))),19,1)</f>
        <v>Green</v>
      </c>
      <c r="B2" s="34">
        <v>0</v>
      </c>
      <c r="C2" s="34">
        <v>0</v>
      </c>
      <c r="D2" s="34" t="str">
        <v>Normal</v>
      </c>
      <c r="E2" s="34" t="str">
        <v>SB-123-1234</v>
      </c>
      <c r="F2" s="34" t="str">
        <v>Fixing a problem</v>
      </c>
      <c r="G2" s="34" t="str">
        <v>problem1</v>
      </c>
      <c r="H2" s="34" t="str">
        <v>person1</v>
      </c>
      <c r="I2" s="34">
        <v>0</v>
      </c>
      <c r="J2" s="34">
        <v>0</v>
      </c>
      <c r="K2" s="34">
        <v>0</v>
      </c>
      <c r="L2" s="34">
        <v>0</v>
      </c>
      <c r="M2" s="34">
        <v>0</v>
      </c>
      <c r="N2" s="34">
        <v>1234567</v>
      </c>
      <c r="O2" s="34" t="str">
        <v>Engineering review</v>
      </c>
      <c r="P2" s="34">
        <v>0</v>
      </c>
      <c r="Q2" s="40">
        <v>0</v>
      </c>
      <c r="R2" s="34">
        <v>0</v>
      </c>
      <c r="S2" s="40">
        <v>0</v>
      </c>
      <c r="T2" s="41"/>
      <c r="V2" s="29"/>
      <c r="W2" s="30"/>
      <c r="X2" s="30"/>
      <c r="Y2" s="30"/>
      <c r="Z2" s="30"/>
      <c r="AA2" s="30"/>
      <c r="AB2" s="30"/>
      <c r="AC2" s="30"/>
      <c r="AD2" s="30"/>
      <c r="AE2" s="30"/>
      <c r="AF2" s="31"/>
      <c r="AG2" s="31"/>
      <c r="AH2" s="31"/>
      <c r="AI2" s="31"/>
      <c r="AJ2" s="32"/>
      <c r="AK2" s="30"/>
      <c r="AL2" s="30"/>
      <c r="AM2" s="30"/>
      <c r="AN2" s="31"/>
      <c r="AO2" s="31"/>
      <c r="AP2" s="30"/>
      <c r="AQ2" s="30"/>
      <c r="AR2" s="30"/>
      <c r="AS2" s="30"/>
      <c r="AT2" s="30"/>
      <c r="AU2" s="30"/>
      <c r="AV2" s="30"/>
      <c r="AW2" s="31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</row>
    <row r="3" spans="1:63" ht="33" customHeight="1" x14ac:dyDescent="0.2">
      <c r="A3" s="42" t="str">
        <v>Green</v>
      </c>
      <c r="B3" s="35">
        <v>0</v>
      </c>
      <c r="C3" s="35">
        <v>0</v>
      </c>
      <c r="D3" s="35" t="str">
        <v>Disclosure letter</v>
      </c>
      <c r="E3" s="35" t="str">
        <v>SB-123-1236</v>
      </c>
      <c r="F3" s="35" t="str">
        <v>Other</v>
      </c>
      <c r="G3" s="35" t="str">
        <v>problem3</v>
      </c>
      <c r="H3" s="35" t="str">
        <v>person3</v>
      </c>
      <c r="I3" s="35">
        <v>0</v>
      </c>
      <c r="J3" s="35">
        <v>0</v>
      </c>
      <c r="K3" s="35">
        <v>0</v>
      </c>
      <c r="L3" s="35">
        <v>0</v>
      </c>
      <c r="M3" s="15">
        <v>0</v>
      </c>
      <c r="N3" s="35">
        <v>1234569</v>
      </c>
      <c r="O3" s="43" t="str">
        <v>DAD Approval of SB</v>
      </c>
      <c r="P3" s="35">
        <v>0</v>
      </c>
      <c r="Q3" s="15">
        <v>0</v>
      </c>
      <c r="R3" s="43">
        <v>0</v>
      </c>
      <c r="S3" s="15">
        <v>0</v>
      </c>
      <c r="T3" s="44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33"/>
      <c r="AH3" s="33"/>
      <c r="AI3" s="33"/>
      <c r="AJ3" s="29"/>
      <c r="AK3" s="29"/>
      <c r="AL3" s="29"/>
      <c r="AM3" s="29"/>
      <c r="AN3" s="29"/>
      <c r="AO3" s="33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</row>
    <row r="4" spans="1:63" ht="33" customHeight="1" x14ac:dyDescent="0.2">
      <c r="A4" s="4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46"/>
      <c r="P4" s="36"/>
      <c r="Q4" s="16"/>
      <c r="R4" s="46"/>
      <c r="S4" s="16"/>
      <c r="T4" s="47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33"/>
      <c r="AH4" s="33"/>
      <c r="AI4" s="33"/>
      <c r="AJ4" s="29"/>
      <c r="AK4" s="29"/>
      <c r="AL4" s="29"/>
      <c r="AM4" s="29"/>
      <c r="AN4" s="29"/>
      <c r="AO4" s="33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</row>
    <row r="5" spans="1:63" ht="33" customHeight="1" x14ac:dyDescent="0.2">
      <c r="A5" s="42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43"/>
      <c r="P5" s="35"/>
      <c r="Q5" s="15"/>
      <c r="R5" s="43"/>
      <c r="S5" s="15"/>
      <c r="T5" s="44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33"/>
      <c r="AH5" s="33"/>
      <c r="AI5" s="33"/>
      <c r="AJ5" s="29"/>
      <c r="AK5" s="29"/>
      <c r="AL5" s="29"/>
      <c r="AM5" s="29"/>
      <c r="AN5" s="29"/>
      <c r="AO5" s="33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</row>
    <row r="6" spans="1:63" ht="45" customHeight="1" x14ac:dyDescent="0.2">
      <c r="A6" s="4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46"/>
      <c r="P6" s="36"/>
      <c r="Q6" s="16"/>
      <c r="R6" s="46"/>
      <c r="S6" s="16"/>
      <c r="T6" s="47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3"/>
      <c r="AH6" s="33"/>
      <c r="AI6" s="33"/>
      <c r="AJ6" s="29"/>
      <c r="AK6" s="29"/>
      <c r="AL6" s="29"/>
      <c r="AM6" s="29"/>
      <c r="AN6" s="29"/>
      <c r="AO6" s="33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</row>
    <row r="7" spans="1:63" x14ac:dyDescent="0.2">
      <c r="A7" s="42"/>
      <c r="B7" s="43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43"/>
      <c r="P7" s="35"/>
      <c r="Q7" s="15"/>
      <c r="R7" s="43"/>
      <c r="S7" s="15"/>
      <c r="T7" s="44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3"/>
      <c r="AH7" s="33"/>
      <c r="AI7" s="33"/>
      <c r="AJ7" s="29"/>
      <c r="AK7" s="29"/>
      <c r="AL7" s="29"/>
      <c r="AM7" s="29"/>
      <c r="AN7" s="29"/>
      <c r="AO7" s="33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</row>
    <row r="8" spans="1:63" x14ac:dyDescent="0.2">
      <c r="A8" s="45"/>
      <c r="B8" s="4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46"/>
      <c r="P8" s="36"/>
      <c r="Q8" s="16"/>
      <c r="R8" s="46"/>
      <c r="S8" s="16"/>
      <c r="T8" s="47"/>
    </row>
    <row r="9" spans="1:63" x14ac:dyDescent="0.2">
      <c r="A9" s="42"/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43"/>
      <c r="P9" s="35"/>
      <c r="Q9" s="15"/>
      <c r="R9" s="43"/>
      <c r="S9" s="15"/>
      <c r="T9" s="44"/>
    </row>
    <row r="10" spans="1:63" x14ac:dyDescent="0.2">
      <c r="A10" s="45"/>
      <c r="B10" s="4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46"/>
      <c r="P10" s="36"/>
      <c r="Q10" s="16"/>
      <c r="R10" s="46"/>
      <c r="S10" s="16"/>
      <c r="T10" s="47"/>
    </row>
    <row r="11" spans="1:63" x14ac:dyDescent="0.2">
      <c r="A11" s="42"/>
      <c r="B11" s="43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43"/>
      <c r="P11" s="35"/>
      <c r="Q11" s="15"/>
      <c r="R11" s="43"/>
      <c r="S11" s="15"/>
      <c r="T11" s="44"/>
    </row>
    <row r="12" spans="1:63" x14ac:dyDescent="0.2">
      <c r="A12" s="45"/>
      <c r="B12" s="46"/>
      <c r="C12" s="36"/>
      <c r="D12" s="36"/>
      <c r="E12" s="36"/>
      <c r="F12" s="36"/>
      <c r="G12" s="36"/>
      <c r="H12" s="36"/>
      <c r="I12" s="36"/>
      <c r="J12" s="16"/>
      <c r="K12" s="16"/>
      <c r="L12" s="16"/>
      <c r="M12" s="16"/>
      <c r="N12" s="46"/>
      <c r="O12" s="46"/>
      <c r="P12" s="36"/>
      <c r="Q12" s="16"/>
      <c r="R12" s="46"/>
      <c r="S12" s="16"/>
      <c r="T12" s="47"/>
    </row>
    <row r="13" spans="1:63" x14ac:dyDescent="0.2">
      <c r="A13" s="42"/>
      <c r="B13" s="43"/>
      <c r="C13" s="35"/>
      <c r="D13" s="35"/>
      <c r="E13" s="35"/>
      <c r="F13" s="35"/>
      <c r="G13" s="35"/>
      <c r="H13" s="35"/>
      <c r="I13" s="35"/>
      <c r="J13" s="15"/>
      <c r="K13" s="15"/>
      <c r="L13" s="15"/>
      <c r="M13" s="15"/>
      <c r="N13" s="43"/>
      <c r="O13" s="43"/>
      <c r="P13" s="35"/>
      <c r="Q13" s="15"/>
      <c r="R13" s="43"/>
      <c r="S13" s="15"/>
      <c r="T13" s="44"/>
    </row>
    <row r="14" spans="1:63" x14ac:dyDescent="0.2">
      <c r="A14" s="45"/>
      <c r="B14" s="46"/>
      <c r="C14" s="36"/>
      <c r="D14" s="36"/>
      <c r="E14" s="36"/>
      <c r="F14" s="36"/>
      <c r="G14" s="36"/>
      <c r="H14" s="36"/>
      <c r="I14" s="36"/>
      <c r="J14" s="16"/>
      <c r="K14" s="16"/>
      <c r="L14" s="16"/>
      <c r="M14" s="16"/>
      <c r="N14" s="46"/>
      <c r="O14" s="46"/>
      <c r="P14" s="36"/>
      <c r="Q14" s="16"/>
      <c r="R14" s="46"/>
      <c r="S14" s="16"/>
      <c r="T14" s="47"/>
    </row>
    <row r="15" spans="1:63" x14ac:dyDescent="0.2">
      <c r="A15" s="42"/>
      <c r="B15" s="43"/>
      <c r="C15" s="35"/>
      <c r="D15" s="35"/>
      <c r="E15" s="35"/>
      <c r="F15" s="35"/>
      <c r="G15" s="35"/>
      <c r="H15" s="35"/>
      <c r="I15" s="35"/>
      <c r="J15" s="15"/>
      <c r="K15" s="15"/>
      <c r="L15" s="15"/>
      <c r="M15" s="15"/>
      <c r="N15" s="43"/>
      <c r="O15" s="43"/>
      <c r="P15" s="35"/>
      <c r="Q15" s="15"/>
      <c r="R15" s="43"/>
      <c r="S15" s="15"/>
      <c r="T15" s="44"/>
    </row>
    <row r="16" spans="1:63" x14ac:dyDescent="0.2">
      <c r="A16" s="45"/>
      <c r="B16" s="46"/>
      <c r="C16" s="36"/>
      <c r="D16" s="36"/>
      <c r="E16" s="36"/>
      <c r="F16" s="36"/>
      <c r="G16" s="36"/>
      <c r="H16" s="36"/>
      <c r="I16" s="36"/>
      <c r="J16" s="16"/>
      <c r="K16" s="16"/>
      <c r="L16" s="16"/>
      <c r="M16" s="16"/>
      <c r="N16" s="46"/>
      <c r="O16" s="46"/>
      <c r="P16" s="36"/>
      <c r="Q16" s="16"/>
      <c r="R16" s="46"/>
      <c r="S16" s="16"/>
      <c r="T16" s="47"/>
    </row>
    <row r="17" spans="1:20" x14ac:dyDescent="0.2">
      <c r="A17" s="42"/>
      <c r="B17" s="43"/>
      <c r="C17" s="35"/>
      <c r="D17" s="35"/>
      <c r="E17" s="35"/>
      <c r="F17" s="35"/>
      <c r="G17" s="35"/>
      <c r="H17" s="35"/>
      <c r="I17" s="35"/>
      <c r="J17" s="15"/>
      <c r="K17" s="15"/>
      <c r="L17" s="15"/>
      <c r="M17" s="15"/>
      <c r="N17" s="43"/>
      <c r="O17" s="43"/>
      <c r="P17" s="35"/>
      <c r="Q17" s="15"/>
      <c r="R17" s="43"/>
      <c r="S17" s="15"/>
      <c r="T17" s="44"/>
    </row>
    <row r="18" spans="1:20" x14ac:dyDescent="0.2">
      <c r="A18" s="45"/>
      <c r="B18" s="46"/>
      <c r="C18" s="36"/>
      <c r="D18" s="36"/>
      <c r="E18" s="36"/>
      <c r="F18" s="36"/>
      <c r="G18" s="36"/>
      <c r="H18" s="36"/>
      <c r="I18" s="36"/>
      <c r="J18" s="16"/>
      <c r="K18" s="16"/>
      <c r="L18" s="16"/>
      <c r="M18" s="16"/>
      <c r="N18" s="46"/>
      <c r="O18" s="46"/>
      <c r="P18" s="36"/>
      <c r="Q18" s="16"/>
      <c r="R18" s="46"/>
      <c r="S18" s="16"/>
      <c r="T18" s="47"/>
    </row>
    <row r="19" spans="1:20" x14ac:dyDescent="0.2">
      <c r="A19" s="42"/>
      <c r="B19" s="43"/>
      <c r="C19" s="35"/>
      <c r="D19" s="35"/>
      <c r="E19" s="35"/>
      <c r="F19" s="35"/>
      <c r="G19" s="35"/>
      <c r="H19" s="35"/>
      <c r="I19" s="35"/>
      <c r="J19" s="15"/>
      <c r="K19" s="15"/>
      <c r="L19" s="15"/>
      <c r="M19" s="15"/>
      <c r="N19" s="43"/>
      <c r="O19" s="43"/>
      <c r="P19" s="35"/>
      <c r="Q19" s="15"/>
      <c r="R19" s="43"/>
      <c r="S19" s="15"/>
      <c r="T19" s="44"/>
    </row>
    <row r="20" spans="1:20" x14ac:dyDescent="0.2">
      <c r="A20" s="45"/>
      <c r="B20" s="46"/>
      <c r="C20" s="36"/>
      <c r="D20" s="36"/>
      <c r="E20" s="36"/>
      <c r="F20" s="36"/>
      <c r="G20" s="36"/>
      <c r="H20" s="36"/>
      <c r="I20" s="36"/>
      <c r="J20" s="16"/>
      <c r="K20" s="16"/>
      <c r="L20" s="16"/>
      <c r="M20" s="16"/>
      <c r="N20" s="46"/>
      <c r="O20" s="46"/>
      <c r="P20" s="36"/>
      <c r="Q20" s="16"/>
      <c r="R20" s="46"/>
      <c r="S20" s="16"/>
      <c r="T20" s="47"/>
    </row>
    <row r="21" spans="1:20" x14ac:dyDescent="0.2">
      <c r="A21" s="42"/>
      <c r="B21" s="43"/>
      <c r="C21" s="35"/>
      <c r="D21" s="35"/>
      <c r="E21" s="35"/>
      <c r="F21" s="35"/>
      <c r="G21" s="35"/>
      <c r="H21" s="35"/>
      <c r="I21" s="35"/>
      <c r="J21" s="15"/>
      <c r="K21" s="15"/>
      <c r="L21" s="15"/>
      <c r="M21" s="15"/>
      <c r="N21" s="43"/>
      <c r="O21" s="43"/>
      <c r="P21" s="35"/>
      <c r="Q21" s="15"/>
      <c r="R21" s="43"/>
      <c r="S21" s="15"/>
      <c r="T21" s="44"/>
    </row>
    <row r="22" spans="1:20" x14ac:dyDescent="0.2">
      <c r="A22" s="45"/>
      <c r="B22" s="46"/>
      <c r="C22" s="36"/>
      <c r="D22" s="36"/>
      <c r="E22" s="36"/>
      <c r="F22" s="36"/>
      <c r="G22" s="36"/>
      <c r="H22" s="36"/>
      <c r="I22" s="36"/>
      <c r="J22" s="16"/>
      <c r="K22" s="16"/>
      <c r="L22" s="16"/>
      <c r="M22" s="16"/>
      <c r="N22" s="46"/>
      <c r="O22" s="46"/>
      <c r="P22" s="36"/>
      <c r="Q22" s="16"/>
      <c r="R22" s="46"/>
      <c r="S22" s="16"/>
      <c r="T22" s="47"/>
    </row>
    <row r="23" spans="1:20" x14ac:dyDescent="0.2">
      <c r="A23" s="42"/>
      <c r="B23" s="43"/>
      <c r="C23" s="35"/>
      <c r="D23" s="35"/>
      <c r="E23" s="35"/>
      <c r="F23" s="35"/>
      <c r="G23" s="35"/>
      <c r="H23" s="35"/>
      <c r="I23" s="35"/>
      <c r="J23" s="15"/>
      <c r="K23" s="15"/>
      <c r="L23" s="15"/>
      <c r="M23" s="15"/>
      <c r="N23" s="43"/>
      <c r="O23" s="43"/>
      <c r="P23" s="35"/>
      <c r="Q23" s="15"/>
      <c r="R23" s="43"/>
      <c r="S23" s="15"/>
      <c r="T23" s="44"/>
    </row>
    <row r="24" spans="1:20" x14ac:dyDescent="0.2">
      <c r="A24" s="45"/>
      <c r="B24" s="46"/>
      <c r="C24" s="36"/>
      <c r="D24" s="36"/>
      <c r="E24" s="36"/>
      <c r="F24" s="36"/>
      <c r="G24" s="36"/>
      <c r="H24" s="36"/>
      <c r="I24" s="36"/>
      <c r="J24" s="16"/>
      <c r="K24" s="16"/>
      <c r="L24" s="16"/>
      <c r="M24" s="16"/>
      <c r="N24" s="46"/>
      <c r="O24" s="46"/>
      <c r="P24" s="36"/>
      <c r="Q24" s="16"/>
      <c r="R24" s="46"/>
      <c r="S24" s="16"/>
      <c r="T24" s="47"/>
    </row>
    <row r="25" spans="1:20" x14ac:dyDescent="0.2">
      <c r="A25" s="42"/>
      <c r="B25" s="43"/>
      <c r="C25" s="35"/>
      <c r="D25" s="35"/>
      <c r="E25" s="35"/>
      <c r="F25" s="35"/>
      <c r="G25" s="35"/>
      <c r="H25" s="35"/>
      <c r="I25" s="35"/>
      <c r="J25" s="15"/>
      <c r="K25" s="15"/>
      <c r="L25" s="15"/>
      <c r="M25" s="15"/>
      <c r="N25" s="43"/>
      <c r="O25" s="43"/>
      <c r="P25" s="35"/>
      <c r="Q25" s="15"/>
      <c r="R25" s="43"/>
      <c r="S25" s="15"/>
      <c r="T25" s="44"/>
    </row>
    <row r="26" spans="1:20" x14ac:dyDescent="0.2">
      <c r="A26" s="45"/>
      <c r="B26" s="46"/>
      <c r="C26" s="36"/>
      <c r="D26" s="36"/>
      <c r="E26" s="36"/>
      <c r="F26" s="36"/>
      <c r="G26" s="36"/>
      <c r="H26" s="36"/>
      <c r="I26" s="36"/>
      <c r="J26" s="16"/>
      <c r="K26" s="16"/>
      <c r="L26" s="16"/>
      <c r="M26" s="16"/>
      <c r="N26" s="46"/>
      <c r="O26" s="46"/>
      <c r="P26" s="36"/>
      <c r="Q26" s="16"/>
      <c r="R26" s="46"/>
      <c r="S26" s="16"/>
      <c r="T26" s="47"/>
    </row>
    <row r="27" spans="1:20" x14ac:dyDescent="0.2">
      <c r="A27" s="48"/>
      <c r="B27" s="49"/>
      <c r="C27" s="37"/>
      <c r="D27" s="37"/>
      <c r="E27" s="37"/>
      <c r="F27" s="37"/>
      <c r="G27" s="37"/>
      <c r="H27" s="37"/>
      <c r="I27" s="37"/>
      <c r="J27" s="17"/>
      <c r="K27" s="17"/>
      <c r="L27" s="17"/>
      <c r="M27" s="17"/>
      <c r="N27" s="49"/>
      <c r="O27" s="49"/>
      <c r="P27" s="37"/>
      <c r="Q27" s="17"/>
      <c r="R27" s="49"/>
      <c r="S27" s="17"/>
      <c r="T27" s="50"/>
    </row>
  </sheetData>
  <autoFilter ref="D1:T1" xr:uid="{03960CB1-4C7E-446D-B4A6-F74DA4101E04}"/>
  <conditionalFormatting sqref="AA1">
    <cfRule type="containsText" dxfId="11" priority="8" operator="containsText" text="CARB">
      <formula>NOT(ISERROR(SEARCH("CARB",AA1)))</formula>
    </cfRule>
    <cfRule type="containsText" dxfId="10" priority="9" operator="containsText" text="TOP ISSUE">
      <formula>NOT(ISERROR(SEARCH("TOP ISSUE",AA1)))</formula>
    </cfRule>
    <cfRule type="containsText" dxfId="9" priority="10" operator="containsText" text="disclosure letter">
      <formula>NOT(ISERROR(SEARCH("disclosure letter",AA1)))</formula>
    </cfRule>
    <cfRule type="containsText" dxfId="8" priority="11" operator="containsText" text="OPTION">
      <formula>NOT(ISERROR(SEARCH("OPTION",AA1)))</formula>
    </cfRule>
    <cfRule type="containsText" dxfId="7" priority="12" operator="containsText" text="Revision">
      <formula>NOT(ISERROR(SEARCH("Revision",AA1)))</formula>
    </cfRule>
  </conditionalFormatting>
  <conditionalFormatting sqref="D1">
    <cfRule type="containsText" dxfId="6" priority="3" operator="containsText" text="CARB">
      <formula>NOT(ISERROR(SEARCH("CARB",D1)))</formula>
    </cfRule>
    <cfRule type="containsText" dxfId="5" priority="4" operator="containsText" text="TOP ISSUE">
      <formula>NOT(ISERROR(SEARCH("TOP ISSUE",D1)))</formula>
    </cfRule>
    <cfRule type="containsText" dxfId="4" priority="5" operator="containsText" text="disclosure letter">
      <formula>NOT(ISERROR(SEARCH("disclosure letter",D1)))</formula>
    </cfRule>
    <cfRule type="containsText" dxfId="3" priority="6" operator="containsText" text="OPTION">
      <formula>NOT(ISERROR(SEARCH("OPTION",D1)))</formula>
    </cfRule>
    <cfRule type="containsText" dxfId="2" priority="7" operator="containsText" text="Revision">
      <formula>NOT(ISERROR(SEARCH("Revision",D1)))</formula>
    </cfRule>
  </conditionalFormatting>
  <conditionalFormatting sqref="D1:D1048576">
    <cfRule type="cellIs" dxfId="1" priority="2" operator="equal">
      <formula>"DISCLOSURE LETTER"</formula>
    </cfRule>
  </conditionalFormatting>
  <conditionalFormatting sqref="T1:T1048576">
    <cfRule type="expression" dxfId="0" priority="1">
      <formula>$D1 = "DISCLOSURE LETTER"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and_Create_Report">
                <anchor moveWithCells="1" sizeWithCells="1">
                  <from>
                    <xdr:col>20</xdr:col>
                    <xdr:colOff>251460</xdr:colOff>
                    <xdr:row>5</xdr:row>
                    <xdr:rowOff>266700</xdr:rowOff>
                  </from>
                  <to>
                    <xdr:col>23</xdr:col>
                    <xdr:colOff>175260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3.Refresh">
                <anchor moveWithCells="1" sizeWithCells="1">
                  <from>
                    <xdr:col>20</xdr:col>
                    <xdr:colOff>266700</xdr:colOff>
                    <xdr:row>3</xdr:row>
                    <xdr:rowOff>121920</xdr:rowOff>
                  </from>
                  <to>
                    <xdr:col>23</xdr:col>
                    <xdr:colOff>152400</xdr:colOff>
                    <xdr:row>4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_Report">
                <anchor moveWithCells="1" sizeWithCells="1">
                  <from>
                    <xdr:col>20</xdr:col>
                    <xdr:colOff>304800</xdr:colOff>
                    <xdr:row>1</xdr:row>
                    <xdr:rowOff>144780</xdr:rowOff>
                  </from>
                  <to>
                    <xdr:col>23</xdr:col>
                    <xdr:colOff>182880</xdr:colOff>
                    <xdr:row>2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6850" divId="SB_Report_26850" sourceType="range" sourceRef="A1:R6" destinationFile="C:\Users\B0633128\AppData\Local\Temp\07-12-21_16-51-54.htm"/>
  </webPublishItem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E496840D8B914F8BCD92BE2434AF67" ma:contentTypeVersion="9" ma:contentTypeDescription="Create a new document." ma:contentTypeScope="" ma:versionID="1516827d8e9cb4535f394492a05d5bdc">
  <xsd:schema xmlns:xsd="http://www.w3.org/2001/XMLSchema" xmlns:xs="http://www.w3.org/2001/XMLSchema" xmlns:p="http://schemas.microsoft.com/office/2006/metadata/properties" xmlns:ns3="12d15761-d779-4af6-9de5-ae7c31efa546" xmlns:ns4="0b2ca11b-2dbd-4575-9e15-70d38c2798d7" targetNamespace="http://schemas.microsoft.com/office/2006/metadata/properties" ma:root="true" ma:fieldsID="8370ff559b4f12743ef629ea6101d567" ns3:_="" ns4:_="">
    <xsd:import namespace="12d15761-d779-4af6-9de5-ae7c31efa546"/>
    <xsd:import namespace="0b2ca11b-2dbd-4575-9e15-70d38c2798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d15761-d779-4af6-9de5-ae7c31efa54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2ca11b-2dbd-4575-9e15-70d38c2798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FD60C59-EC51-4148-B35A-F9AC6C45C4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d15761-d779-4af6-9de5-ae7c31efa546"/>
    <ds:schemaRef ds:uri="0b2ca11b-2dbd-4575-9e15-70d38c2798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1B953FC-B99E-4EAD-8FE5-699AB8BD24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7A5939-C2F6-4E5A-88BC-0107AAB6C5BC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12d15761-d779-4af6-9de5-ae7c31efa546"/>
    <ds:schemaRef ds:uri="http://schemas.microsoft.com/office/infopath/2007/PartnerControls"/>
    <ds:schemaRef ds:uri="http://purl.org/dc/dcmitype/"/>
    <ds:schemaRef ds:uri="http://www.w3.org/XML/1998/namespace"/>
    <ds:schemaRef ds:uri="http://schemas.openxmlformats.org/package/2006/metadata/core-properties"/>
    <ds:schemaRef ds:uri="0b2ca11b-2dbd-4575-9e15-70d38c2798d7"/>
  </ds:schemaRefs>
</ds:datastoreItem>
</file>

<file path=customXml/itemProps4.xml><?xml version="1.0" encoding="utf-8"?>
<ds:datastoreItem xmlns:ds="http://schemas.openxmlformats.org/officeDocument/2006/customXml" ds:itemID="{95999F5D-0364-445F-B44E-83015E280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SB_Data</vt:lpstr>
      <vt:lpstr>Filtered_Data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Tremblay</dc:creator>
  <cp:lastModifiedBy>Zachary Tremblay</cp:lastModifiedBy>
  <cp:lastPrinted>2021-12-03T13:07:25Z</cp:lastPrinted>
  <dcterms:created xsi:type="dcterms:W3CDTF">2021-11-24T18:49:29Z</dcterms:created>
  <dcterms:modified xsi:type="dcterms:W3CDTF">2021-12-30T03:52:30Z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0x0101004DE496840D8B914F8BCD92BE2434AF67</vt:lpwstr>
  </property>
</Properties>
</file>